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  <sheet name="Опц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#"/>
    <numFmt numFmtId="165" formatCode="#,##0&quot; ₽&quot;"/>
  </numFmts>
  <fonts count="7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</font>
    <font>
      <b val="1"/>
    </font>
    <font>
      <b val="1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A3A"/>
      </patternFill>
    </fill>
    <fill>
      <patternFill patternType="solid">
        <fgColor rgb="00E8F0EC"/>
      </patternFill>
    </fill>
    <fill>
      <patternFill patternType="solid">
        <fgColor rgb="00FFF3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wrapText="1"/>
    </xf>
    <xf numFmtId="164" fontId="0" fillId="0" borderId="1" pivotButton="0" quotePrefix="0" xfId="0"/>
    <xf numFmtId="165" fontId="0" fillId="0" borderId="1" pivotButton="0" quotePrefix="0" xfId="0"/>
    <xf numFmtId="0" fontId="4" fillId="0" borderId="1" pivotButton="0" quotePrefix="0" xfId="0"/>
    <xf numFmtId="165" fontId="4" fillId="0" borderId="1" pivotButton="0" quotePrefix="0" xfId="0"/>
    <xf numFmtId="0" fontId="0" fillId="4" borderId="1" pivotButton="0" quotePrefix="0" xfId="0"/>
    <xf numFmtId="0" fontId="5" fillId="4" borderId="1" pivotButton="0" quotePrefix="0" xfId="0"/>
    <xf numFmtId="165" fontId="5" fillId="4" borderId="1" pivotButton="0" quotePrefix="0" xfId="0"/>
    <xf numFmtId="0" fontId="6" fillId="4" borderId="1" pivotButton="0" quotePrefix="0" xfId="0"/>
    <xf numFmtId="165" fontId="6" fillId="4" borderId="1" pivotButton="0" quotePrefix="0" xfId="0"/>
    <xf numFmtId="0" fontId="6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86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" t="inlineStr">
        <is>
          <t>Смета на строительство хозблока 6,0 × 2,3 м (по крыше), каркасный, утеплённый, с наполнением</t>
        </is>
      </c>
    </row>
    <row r="2">
      <c r="A2" s="2" t="inlineStr">
        <is>
          <t>Цены ориентировочные: розница Московского региона, сентябрь 2026 г. Перед закупкой уточнить у поставщиков. Объёмы — по чертежам ХБ-6.0х2.3-АР.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Ед.</t>
        </is>
      </c>
      <c r="D4" s="3" t="inlineStr">
        <is>
          <t>Кол-во</t>
        </is>
      </c>
      <c r="E4" s="3" t="inlineStr">
        <is>
          <t>Цена, ₽</t>
        </is>
      </c>
      <c r="F4" s="3" t="inlineStr">
        <is>
          <t>Сумма, ₽</t>
        </is>
      </c>
    </row>
    <row r="5">
      <c r="A5" s="4" t="inlineStr">
        <is>
          <t>1. Фундамент</t>
        </is>
      </c>
      <c r="B5" s="5" t="n"/>
      <c r="C5" s="5" t="n"/>
      <c r="D5" s="5" t="n"/>
      <c r="E5" s="5" t="n"/>
      <c r="F5" s="5" t="n"/>
    </row>
    <row r="6">
      <c r="A6" s="6" t="inlineStr">
        <is>
          <t>1.1</t>
        </is>
      </c>
      <c r="B6" s="7" t="inlineStr">
        <is>
          <t>Блок бетонный 400×200×200 (опоры + подкладки)</t>
        </is>
      </c>
      <c r="C6" s="6" t="inlineStr">
        <is>
          <t>шт</t>
        </is>
      </c>
      <c r="D6" s="6" t="n">
        <v>12</v>
      </c>
      <c r="E6" s="8" t="n">
        <v>160</v>
      </c>
      <c r="F6" s="9">
        <f>D6*E6</f>
        <v/>
      </c>
    </row>
    <row r="7">
      <c r="A7" s="6" t="inlineStr">
        <is>
          <t>1.2</t>
        </is>
      </c>
      <c r="B7" s="7" t="inlineStr">
        <is>
          <t>Рубероид РКП-350, рулон 10 м²</t>
        </is>
      </c>
      <c r="C7" s="6" t="inlineStr">
        <is>
          <t>рул</t>
        </is>
      </c>
      <c r="D7" s="6" t="n">
        <v>1</v>
      </c>
      <c r="E7" s="8" t="n">
        <v>650</v>
      </c>
      <c r="F7" s="9">
        <f>D7*E7</f>
        <v/>
      </c>
    </row>
    <row r="8">
      <c r="A8" s="6" t="inlineStr">
        <is>
          <t>1.3</t>
        </is>
      </c>
      <c r="B8" s="7" t="inlineStr">
        <is>
          <t>Щебень фр. 20–40, мешок 50 кг (подушка под опоры)</t>
        </is>
      </c>
      <c r="C8" s="6" t="inlineStr">
        <is>
          <t>меш</t>
        </is>
      </c>
      <c r="D8" s="6" t="n">
        <v>10</v>
      </c>
      <c r="E8" s="8" t="n">
        <v>260</v>
      </c>
      <c r="F8" s="9">
        <f>D8*E8</f>
        <v/>
      </c>
    </row>
    <row r="9">
      <c r="A9" s="6" t="n"/>
      <c r="B9" s="10" t="inlineStr">
        <is>
          <t>Итого по разделу «Фундамент»</t>
        </is>
      </c>
      <c r="C9" s="6" t="n"/>
      <c r="D9" s="6" t="n"/>
      <c r="E9" s="6" t="n"/>
      <c r="F9" s="11">
        <f>SUM(F6:F8)</f>
        <v/>
      </c>
    </row>
    <row r="11">
      <c r="A11" s="4" t="inlineStr">
        <is>
          <t>2. Пиломатериал хвойный (сорт 1–2)</t>
        </is>
      </c>
      <c r="B11" s="5" t="n"/>
      <c r="C11" s="5" t="n"/>
      <c r="D11" s="5" t="n"/>
      <c r="E11" s="5" t="n"/>
      <c r="F11" s="5" t="n"/>
    </row>
    <row r="12">
      <c r="A12" s="6" t="inlineStr">
        <is>
          <t>2.1</t>
        </is>
      </c>
      <c r="B12" s="7" t="inlineStr">
        <is>
          <t>Брус 100×150×6000 — нижняя обвязка (0.27 м³)</t>
        </is>
      </c>
      <c r="C12" s="6" t="inlineStr">
        <is>
          <t>шт</t>
        </is>
      </c>
      <c r="D12" s="6" t="n">
        <v>3</v>
      </c>
      <c r="E12" s="8" t="n">
        <v>1750</v>
      </c>
      <c r="F12" s="9">
        <f>D12*E12</f>
        <v/>
      </c>
    </row>
    <row r="13">
      <c r="A13" s="6" t="inlineStr">
        <is>
          <t>2.2</t>
        </is>
      </c>
      <c r="B13" s="7" t="inlineStr">
        <is>
          <t>Доска 50×150×6000 — лаги пола (0.18 м³)</t>
        </is>
      </c>
      <c r="C13" s="6" t="inlineStr">
        <is>
          <t>шт</t>
        </is>
      </c>
      <c r="D13" s="6" t="n">
        <v>4</v>
      </c>
      <c r="E13" s="8" t="n">
        <v>860</v>
      </c>
      <c r="F13" s="9">
        <f>D13*E13</f>
        <v/>
      </c>
    </row>
    <row r="14">
      <c r="A14" s="6" t="inlineStr">
        <is>
          <t>2.3</t>
        </is>
      </c>
      <c r="B14" s="7" t="inlineStr">
        <is>
          <t>Доска 50×100×6000 — стойки, обвязка, фермы (0.84 м³)</t>
        </is>
      </c>
      <c r="C14" s="6" t="inlineStr">
        <is>
          <t>шт</t>
        </is>
      </c>
      <c r="D14" s="6" t="n">
        <v>28</v>
      </c>
      <c r="E14" s="8" t="n">
        <v>570</v>
      </c>
      <c r="F14" s="9">
        <f>D14*E14</f>
        <v/>
      </c>
    </row>
    <row r="15">
      <c r="A15" s="6" t="inlineStr">
        <is>
          <t>2.4</t>
        </is>
      </c>
      <c r="B15" s="7" t="inlineStr">
        <is>
          <t>Доска 25×100×6000 — обрешётка, раскосы (0.195 м³)</t>
        </is>
      </c>
      <c r="C15" s="6" t="inlineStr">
        <is>
          <t>шт</t>
        </is>
      </c>
      <c r="D15" s="6" t="n">
        <v>13</v>
      </c>
      <c r="E15" s="8" t="n">
        <v>265</v>
      </c>
      <c r="F15" s="9">
        <f>D15*E15</f>
        <v/>
      </c>
    </row>
    <row r="16">
      <c r="A16" s="6" t="inlineStr">
        <is>
          <t>2.5</t>
        </is>
      </c>
      <c r="B16" s="7" t="inlineStr">
        <is>
          <t>Доска обрезная 25×150×6000 — черновой пол</t>
        </is>
      </c>
      <c r="C16" s="6" t="inlineStr">
        <is>
          <t>шт</t>
        </is>
      </c>
      <c r="D16" s="6" t="n">
        <v>14</v>
      </c>
      <c r="E16" s="8" t="n">
        <v>400</v>
      </c>
      <c r="F16" s="9">
        <f>D16*E16</f>
        <v/>
      </c>
    </row>
    <row r="17">
      <c r="A17" s="6" t="inlineStr">
        <is>
          <t>2.6</t>
        </is>
      </c>
      <c r="B17" s="7" t="inlineStr">
        <is>
          <t>Доска обрезная 25×150×6000 — пол (под ОСБ)</t>
        </is>
      </c>
      <c r="C17" s="6" t="inlineStr">
        <is>
          <t>шт</t>
        </is>
      </c>
      <c r="D17" s="6" t="n">
        <v>14</v>
      </c>
      <c r="E17" s="8" t="n">
        <v>400</v>
      </c>
      <c r="F17" s="9">
        <f>D17*E17</f>
        <v/>
      </c>
    </row>
    <row r="18">
      <c r="A18" s="6" t="inlineStr">
        <is>
          <t>2.7</t>
        </is>
      </c>
      <c r="B18" s="7" t="inlineStr">
        <is>
          <t>Брусок 40×40×3000 — черепной</t>
        </is>
      </c>
      <c r="C18" s="6" t="inlineStr">
        <is>
          <t>шт</t>
        </is>
      </c>
      <c r="D18" s="6" t="n">
        <v>16</v>
      </c>
      <c r="E18" s="8" t="n">
        <v>110</v>
      </c>
      <c r="F18" s="9">
        <f>D18*E18</f>
        <v/>
      </c>
    </row>
    <row r="19">
      <c r="A19" s="6" t="n"/>
      <c r="B19" s="10" t="inlineStr">
        <is>
          <t>Итого по разделу «Пиломатериал хвойный (сорт 1–2)»</t>
        </is>
      </c>
      <c r="C19" s="6" t="n"/>
      <c r="D19" s="6" t="n"/>
      <c r="E19" s="6" t="n"/>
      <c r="F19" s="11">
        <f>SUM(F12:F18)</f>
        <v/>
      </c>
    </row>
    <row r="21">
      <c r="A21" s="4" t="inlineStr">
        <is>
          <t>3. Утепление и плёнки</t>
        </is>
      </c>
      <c r="B21" s="5" t="n"/>
      <c r="C21" s="5" t="n"/>
      <c r="D21" s="5" t="n"/>
      <c r="E21" s="5" t="n"/>
      <c r="F21" s="5" t="n"/>
    </row>
    <row r="22">
      <c r="A22" s="6" t="inlineStr">
        <is>
          <t>3.1</t>
        </is>
      </c>
      <c r="B22" s="7" t="inlineStr">
        <is>
          <t>Утеплитель мин. вата 100 мм, 35 кг/м³, уп. 4,32 м² (пол, стены, потолок ≈ 54 м²)</t>
        </is>
      </c>
      <c r="C22" s="6" t="inlineStr">
        <is>
          <t>уп</t>
        </is>
      </c>
      <c r="D22" s="6" t="n">
        <v>14</v>
      </c>
      <c r="E22" s="8" t="n">
        <v>1350</v>
      </c>
      <c r="F22" s="9">
        <f>D22*E22</f>
        <v/>
      </c>
    </row>
    <row r="23">
      <c r="A23" s="6" t="inlineStr">
        <is>
          <t>3.2</t>
        </is>
      </c>
      <c r="B23" s="7" t="inlineStr">
        <is>
          <t>Пароизоляция Изоспан B, 70 м²</t>
        </is>
      </c>
      <c r="C23" s="6" t="inlineStr">
        <is>
          <t>рул</t>
        </is>
      </c>
      <c r="D23" s="6" t="n">
        <v>1</v>
      </c>
      <c r="E23" s="8" t="n">
        <v>1750</v>
      </c>
      <c r="F23" s="9">
        <f>D23*E23</f>
        <v/>
      </c>
    </row>
    <row r="24">
      <c r="A24" s="6" t="inlineStr">
        <is>
          <t>3.3</t>
        </is>
      </c>
      <c r="B24" s="7" t="inlineStr">
        <is>
          <t>Ветро-влагозащита Изоспан A, 70 м² (стены, низ пола)</t>
        </is>
      </c>
      <c r="C24" s="6" t="inlineStr">
        <is>
          <t>рул</t>
        </is>
      </c>
      <c r="D24" s="6" t="n">
        <v>1</v>
      </c>
      <c r="E24" s="8" t="n">
        <v>2900</v>
      </c>
      <c r="F24" s="9">
        <f>D24*E24</f>
        <v/>
      </c>
    </row>
    <row r="25">
      <c r="A25" s="6" t="inlineStr">
        <is>
          <t>3.4</t>
        </is>
      </c>
      <c r="B25" s="7" t="inlineStr">
        <is>
          <t>Гидроизоляция кровли Изоспан D, 70 м²</t>
        </is>
      </c>
      <c r="C25" s="6" t="inlineStr">
        <is>
          <t>рул</t>
        </is>
      </c>
      <c r="D25" s="6" t="n">
        <v>1</v>
      </c>
      <c r="E25" s="8" t="n">
        <v>3100</v>
      </c>
      <c r="F25" s="9">
        <f>D25*E25</f>
        <v/>
      </c>
    </row>
    <row r="26">
      <c r="A26" s="6" t="inlineStr">
        <is>
          <t>3.5</t>
        </is>
      </c>
      <c r="B26" s="7" t="inlineStr">
        <is>
          <t>Лента соединительная + скобы степлера</t>
        </is>
      </c>
      <c r="C26" s="6" t="inlineStr">
        <is>
          <t>компл</t>
        </is>
      </c>
      <c r="D26" s="6" t="n">
        <v>1</v>
      </c>
      <c r="E26" s="8" t="n">
        <v>700</v>
      </c>
      <c r="F26" s="9">
        <f>D26*E26</f>
        <v/>
      </c>
    </row>
    <row r="27">
      <c r="A27" s="6" t="n"/>
      <c r="B27" s="10" t="inlineStr">
        <is>
          <t>Итого по разделу «Утепление и плёнки»</t>
        </is>
      </c>
      <c r="C27" s="6" t="n"/>
      <c r="D27" s="6" t="n"/>
      <c r="E27" s="6" t="n"/>
      <c r="F27" s="11">
        <f>SUM(F22:F26)</f>
        <v/>
      </c>
    </row>
    <row r="29">
      <c r="A29" s="4" t="inlineStr">
        <is>
          <t>4. Отделка</t>
        </is>
      </c>
      <c r="B29" s="5" t="n"/>
      <c r="C29" s="5" t="n"/>
      <c r="D29" s="5" t="n"/>
      <c r="E29" s="5" t="n"/>
      <c r="F29" s="5" t="n"/>
    </row>
    <row r="30">
      <c r="A30" s="6" t="inlineStr">
        <is>
          <t>4.1</t>
        </is>
      </c>
      <c r="B30" s="7" t="inlineStr">
        <is>
          <t>ОСБ-3 9 мм 2500×1250 — стены и потолок внутри</t>
        </is>
      </c>
      <c r="C30" s="6" t="inlineStr">
        <is>
          <t>лист</t>
        </is>
      </c>
      <c r="D30" s="6" t="n">
        <v>15</v>
      </c>
      <c r="E30" s="8" t="n">
        <v>820</v>
      </c>
      <c r="F30" s="9">
        <f>D30*E30</f>
        <v/>
      </c>
    </row>
    <row r="31">
      <c r="A31" s="6" t="inlineStr">
        <is>
          <t>4.2</t>
        </is>
      </c>
      <c r="B31" s="7" t="inlineStr">
        <is>
          <t>ОСБ-3 12 мм 2500×1250 — пол</t>
        </is>
      </c>
      <c r="C31" s="6" t="inlineStr">
        <is>
          <t>лист</t>
        </is>
      </c>
      <c r="D31" s="6" t="n">
        <v>5</v>
      </c>
      <c r="E31" s="8" t="n">
        <v>1050</v>
      </c>
      <c r="F31" s="9">
        <f>D31*E31</f>
        <v/>
      </c>
    </row>
    <row r="32">
      <c r="A32" s="6" t="inlineStr">
        <is>
          <t>4.3</t>
        </is>
      </c>
      <c r="B32" s="7" t="inlineStr">
        <is>
          <t>Профлист С8 0,45 мм полимер (цвет RAL) — стены, 12 л. × 2,65 м + 4 л. × 3,05 м</t>
        </is>
      </c>
      <c r="C32" s="6" t="inlineStr">
        <is>
          <t>м²</t>
        </is>
      </c>
      <c r="D32" s="6" t="n">
        <v>52.8</v>
      </c>
      <c r="E32" s="8" t="n">
        <v>590</v>
      </c>
      <c r="F32" s="9">
        <f>D32*E32</f>
        <v/>
      </c>
    </row>
    <row r="33">
      <c r="A33" s="6" t="inlineStr">
        <is>
          <t>4.4</t>
        </is>
      </c>
      <c r="B33" s="7" t="inlineStr">
        <is>
          <t>Профлист С20 0,45 мм оцинкованный — кровля, 12 л. × 1,3 м</t>
        </is>
      </c>
      <c r="C33" s="6" t="inlineStr">
        <is>
          <t>м²</t>
        </is>
      </c>
      <c r="D33" s="6" t="n">
        <v>17.9</v>
      </c>
      <c r="E33" s="8" t="n">
        <v>520</v>
      </c>
      <c r="F33" s="9">
        <f>D33*E33</f>
        <v/>
      </c>
    </row>
    <row r="34">
      <c r="A34" s="6" t="inlineStr">
        <is>
          <t>4.5</t>
        </is>
      </c>
      <c r="B34" s="7" t="inlineStr">
        <is>
          <t>Конёк оцинкованный 2 м</t>
        </is>
      </c>
      <c r="C34" s="6" t="inlineStr">
        <is>
          <t>шт</t>
        </is>
      </c>
      <c r="D34" s="6" t="n">
        <v>4</v>
      </c>
      <c r="E34" s="8" t="n">
        <v>450</v>
      </c>
      <c r="F34" s="9">
        <f>D34*E34</f>
        <v/>
      </c>
    </row>
    <row r="35">
      <c r="A35" s="6" t="inlineStr">
        <is>
          <t>4.6</t>
        </is>
      </c>
      <c r="B35" s="7" t="inlineStr">
        <is>
          <t>Ветровая планка 2 м</t>
        </is>
      </c>
      <c r="C35" s="6" t="inlineStr">
        <is>
          <t>шт</t>
        </is>
      </c>
      <c r="D35" s="6" t="n">
        <v>4</v>
      </c>
      <c r="E35" s="8" t="n">
        <v>520</v>
      </c>
      <c r="F35" s="9">
        <f>D35*E35</f>
        <v/>
      </c>
    </row>
    <row r="36">
      <c r="A36" s="6" t="inlineStr">
        <is>
          <t>4.7</t>
        </is>
      </c>
      <c r="B36" s="7" t="inlineStr">
        <is>
          <t>Угол наружный 2,5 м (RAL 9003)</t>
        </is>
      </c>
      <c r="C36" s="6" t="inlineStr">
        <is>
          <t>шт</t>
        </is>
      </c>
      <c r="D36" s="6" t="n">
        <v>4</v>
      </c>
      <c r="E36" s="8" t="n">
        <v>480</v>
      </c>
      <c r="F36" s="9">
        <f>D36*E36</f>
        <v/>
      </c>
    </row>
    <row r="37">
      <c r="A37" s="6" t="inlineStr">
        <is>
          <t>4.8</t>
        </is>
      </c>
      <c r="B37" s="7" t="inlineStr">
        <is>
          <t>Обрамление проёмов / наличник 2 м (RAL 9003)</t>
        </is>
      </c>
      <c r="C37" s="6" t="inlineStr">
        <is>
          <t>шт</t>
        </is>
      </c>
      <c r="D37" s="6" t="n">
        <v>8</v>
      </c>
      <c r="E37" s="8" t="n">
        <v>420</v>
      </c>
      <c r="F37" s="9">
        <f>D37*E37</f>
        <v/>
      </c>
    </row>
    <row r="38">
      <c r="A38" s="6" t="inlineStr">
        <is>
          <t>4.9</t>
        </is>
      </c>
      <c r="B38" s="7" t="inlineStr">
        <is>
          <t>Цокольный отлив 2 м</t>
        </is>
      </c>
      <c r="C38" s="6" t="inlineStr">
        <is>
          <t>шт</t>
        </is>
      </c>
      <c r="D38" s="6" t="n">
        <v>9</v>
      </c>
      <c r="E38" s="8" t="n">
        <v>380</v>
      </c>
      <c r="F38" s="9">
        <f>D38*E38</f>
        <v/>
      </c>
    </row>
    <row r="39">
      <c r="A39" s="6" t="inlineStr">
        <is>
          <t>4.10</t>
        </is>
      </c>
      <c r="B39" s="7" t="inlineStr">
        <is>
          <t>Саморезы кровельные 4,8×29 с шайбой (цвет + оцинк.)</t>
        </is>
      </c>
      <c r="C39" s="6" t="inlineStr">
        <is>
          <t>шт</t>
        </is>
      </c>
      <c r="D39" s="6" t="n">
        <v>750</v>
      </c>
      <c r="E39" s="8" t="n">
        <v>3.2</v>
      </c>
      <c r="F39" s="9">
        <f>D39*E39</f>
        <v/>
      </c>
    </row>
    <row r="40">
      <c r="A40" s="6" t="n"/>
      <c r="B40" s="10" t="inlineStr">
        <is>
          <t>Итого по разделу «Отделка»</t>
        </is>
      </c>
      <c r="C40" s="6" t="n"/>
      <c r="D40" s="6" t="n"/>
      <c r="E40" s="6" t="n"/>
      <c r="F40" s="11">
        <f>SUM(F30:F39)</f>
        <v/>
      </c>
    </row>
    <row r="42">
      <c r="A42" s="4" t="inlineStr">
        <is>
          <t>5. Окна и дверь</t>
        </is>
      </c>
      <c r="B42" s="5" t="n"/>
      <c r="C42" s="5" t="n"/>
      <c r="D42" s="5" t="n"/>
      <c r="E42" s="5" t="n"/>
      <c r="F42" s="5" t="n"/>
    </row>
    <row r="43">
      <c r="A43" s="6" t="inlineStr">
        <is>
          <t>5.1</t>
        </is>
      </c>
      <c r="B43" s="7" t="inlineStr">
        <is>
          <t>Окно ПВХ 1000×1000 поворотно-откидное, 2-кам. стеклопакет, с отливом и подоконником</t>
        </is>
      </c>
      <c r="C43" s="6" t="inlineStr">
        <is>
          <t>шт</t>
        </is>
      </c>
      <c r="D43" s="6" t="n">
        <v>2</v>
      </c>
      <c r="E43" s="8" t="n">
        <v>10900</v>
      </c>
      <c r="F43" s="9">
        <f>D43*E43</f>
        <v/>
      </c>
    </row>
    <row r="44">
      <c r="A44" s="6" t="inlineStr">
        <is>
          <t>5.2</t>
        </is>
      </c>
      <c r="B44" s="7" t="inlineStr">
        <is>
          <t>Дверь металлическая утеплённая 2050×960, пр-во РФ</t>
        </is>
      </c>
      <c r="C44" s="6" t="inlineStr">
        <is>
          <t>шт</t>
        </is>
      </c>
      <c r="D44" s="6" t="n">
        <v>1</v>
      </c>
      <c r="E44" s="8" t="n">
        <v>17500</v>
      </c>
      <c r="F44" s="9">
        <f>D44*E44</f>
        <v/>
      </c>
    </row>
    <row r="45">
      <c r="A45" s="6" t="inlineStr">
        <is>
          <t>5.3</t>
        </is>
      </c>
      <c r="B45" s="7" t="inlineStr">
        <is>
          <t>Пена монтажная проф. 750 мл</t>
        </is>
      </c>
      <c r="C45" s="6" t="inlineStr">
        <is>
          <t>бал</t>
        </is>
      </c>
      <c r="D45" s="6" t="n">
        <v>3</v>
      </c>
      <c r="E45" s="8" t="n">
        <v>650</v>
      </c>
      <c r="F45" s="9">
        <f>D45*E45</f>
        <v/>
      </c>
    </row>
    <row r="46">
      <c r="A46" s="6" t="inlineStr">
        <is>
          <t>5.4</t>
        </is>
      </c>
      <c r="B46" s="7" t="inlineStr">
        <is>
          <t>Лента ПСУЛ / пароизоляционная для проёмов</t>
        </is>
      </c>
      <c r="C46" s="6" t="inlineStr">
        <is>
          <t>компл</t>
        </is>
      </c>
      <c r="D46" s="6" t="n">
        <v>1</v>
      </c>
      <c r="E46" s="8" t="n">
        <v>700</v>
      </c>
      <c r="F46" s="9">
        <f>D46*E46</f>
        <v/>
      </c>
    </row>
    <row r="47">
      <c r="A47" s="6" t="n"/>
      <c r="B47" s="10" t="inlineStr">
        <is>
          <t>Итого по разделу «Окна и дверь»</t>
        </is>
      </c>
      <c r="C47" s="6" t="n"/>
      <c r="D47" s="6" t="n"/>
      <c r="E47" s="6" t="n"/>
      <c r="F47" s="11">
        <f>SUM(F43:F46)</f>
        <v/>
      </c>
    </row>
    <row r="49">
      <c r="A49" s="4" t="inlineStr">
        <is>
          <t>6. Крепёж и антисептик</t>
        </is>
      </c>
      <c r="B49" s="5" t="n"/>
      <c r="C49" s="5" t="n"/>
      <c r="D49" s="5" t="n"/>
      <c r="E49" s="5" t="n"/>
      <c r="F49" s="5" t="n"/>
    </row>
    <row r="50">
      <c r="A50" s="6" t="inlineStr">
        <is>
          <t>6.1</t>
        </is>
      </c>
      <c r="B50" s="7" t="inlineStr">
        <is>
          <t>Уголок крепёжный 90×90 / 70×70</t>
        </is>
      </c>
      <c r="C50" s="6" t="inlineStr">
        <is>
          <t>шт</t>
        </is>
      </c>
      <c r="D50" s="6" t="n">
        <v>70</v>
      </c>
      <c r="E50" s="8" t="n">
        <v>40</v>
      </c>
      <c r="F50" s="9">
        <f>D50*E50</f>
        <v/>
      </c>
    </row>
    <row r="51">
      <c r="A51" s="6" t="inlineStr">
        <is>
          <t>6.2</t>
        </is>
      </c>
      <c r="B51" s="7" t="inlineStr">
        <is>
          <t>Опора бруса 50×150</t>
        </is>
      </c>
      <c r="C51" s="6" t="inlineStr">
        <is>
          <t>шт</t>
        </is>
      </c>
      <c r="D51" s="6" t="n">
        <v>18</v>
      </c>
      <c r="E51" s="8" t="n">
        <v>60</v>
      </c>
      <c r="F51" s="9">
        <f>D51*E51</f>
        <v/>
      </c>
    </row>
    <row r="52">
      <c r="A52" s="6" t="inlineStr">
        <is>
          <t>6.3</t>
        </is>
      </c>
      <c r="B52" s="7" t="inlineStr">
        <is>
          <t>Гвозди 4×100, 3,5×90</t>
        </is>
      </c>
      <c r="C52" s="6" t="inlineStr">
        <is>
          <t>кг</t>
        </is>
      </c>
      <c r="D52" s="6" t="n">
        <v>4</v>
      </c>
      <c r="E52" s="8" t="n">
        <v>230</v>
      </c>
      <c r="F52" s="9">
        <f>D52*E52</f>
        <v/>
      </c>
    </row>
    <row r="53">
      <c r="A53" s="6" t="inlineStr">
        <is>
          <t>6.4</t>
        </is>
      </c>
      <c r="B53" s="7" t="inlineStr">
        <is>
          <t>Саморезы по дереву 4,5×70 / 3,5×35 (для ОСБ)</t>
        </is>
      </c>
      <c r="C53" s="6" t="inlineStr">
        <is>
          <t>кг</t>
        </is>
      </c>
      <c r="D53" s="6" t="n">
        <v>5</v>
      </c>
      <c r="E53" s="8" t="n">
        <v>420</v>
      </c>
      <c r="F53" s="9">
        <f>D53*E53</f>
        <v/>
      </c>
    </row>
    <row r="54">
      <c r="A54" s="6" t="inlineStr">
        <is>
          <t>6.5</t>
        </is>
      </c>
      <c r="B54" s="7" t="inlineStr">
        <is>
          <t>Антисептик для древесины, 10 л</t>
        </is>
      </c>
      <c r="C54" s="6" t="inlineStr">
        <is>
          <t>кан</t>
        </is>
      </c>
      <c r="D54" s="6" t="n">
        <v>2</v>
      </c>
      <c r="E54" s="8" t="n">
        <v>1400</v>
      </c>
      <c r="F54" s="9">
        <f>D54*E54</f>
        <v/>
      </c>
    </row>
    <row r="55">
      <c r="A55" s="6" t="n"/>
      <c r="B55" s="10" t="inlineStr">
        <is>
          <t>Итого по разделу «Крепёж и антисептик»</t>
        </is>
      </c>
      <c r="C55" s="6" t="n"/>
      <c r="D55" s="6" t="n"/>
      <c r="E55" s="6" t="n"/>
      <c r="F55" s="11">
        <f>SUM(F50:F54)</f>
        <v/>
      </c>
    </row>
    <row r="57">
      <c r="A57" s="4" t="inlineStr">
        <is>
          <t>7. Входные ступени</t>
        </is>
      </c>
      <c r="B57" s="5" t="n"/>
      <c r="C57" s="5" t="n"/>
      <c r="D57" s="5" t="n"/>
      <c r="E57" s="5" t="n"/>
      <c r="F57" s="5" t="n"/>
    </row>
    <row r="58">
      <c r="A58" s="6" t="inlineStr">
        <is>
          <t>7.1</t>
        </is>
      </c>
      <c r="B58" s="7" t="inlineStr">
        <is>
          <t>Доска 40×200×3000 (проступи, площадка)</t>
        </is>
      </c>
      <c r="C58" s="6" t="inlineStr">
        <is>
          <t>шт</t>
        </is>
      </c>
      <c r="D58" s="6" t="n">
        <v>3</v>
      </c>
      <c r="E58" s="8" t="n">
        <v>850</v>
      </c>
      <c r="F58" s="9">
        <f>D58*E58</f>
        <v/>
      </c>
    </row>
    <row r="59">
      <c r="A59" s="6" t="inlineStr">
        <is>
          <t>7.2</t>
        </is>
      </c>
      <c r="B59" s="7" t="inlineStr">
        <is>
          <t>Брус 100×100×3000 (косоуры, опоры)</t>
        </is>
      </c>
      <c r="C59" s="6" t="inlineStr">
        <is>
          <t>шт</t>
        </is>
      </c>
      <c r="D59" s="6" t="n">
        <v>2</v>
      </c>
      <c r="E59" s="8" t="n">
        <v>900</v>
      </c>
      <c r="F59" s="9">
        <f>D59*E59</f>
        <v/>
      </c>
    </row>
    <row r="60">
      <c r="A60" s="6" t="inlineStr">
        <is>
          <t>7.3</t>
        </is>
      </c>
      <c r="B60" s="7" t="inlineStr">
        <is>
          <t>Блок бетонный под ступени</t>
        </is>
      </c>
      <c r="C60" s="6" t="inlineStr">
        <is>
          <t>шт</t>
        </is>
      </c>
      <c r="D60" s="6" t="n">
        <v>2</v>
      </c>
      <c r="E60" s="8" t="n">
        <v>160</v>
      </c>
      <c r="F60" s="9">
        <f>D60*E60</f>
        <v/>
      </c>
    </row>
    <row r="61">
      <c r="A61" s="6" t="n"/>
      <c r="B61" s="10" t="inlineStr">
        <is>
          <t>Итого по разделу «Входные ступени»</t>
        </is>
      </c>
      <c r="C61" s="6" t="n"/>
      <c r="D61" s="6" t="n"/>
      <c r="E61" s="6" t="n"/>
      <c r="F61" s="11">
        <f>SUM(F58:F60)</f>
        <v/>
      </c>
    </row>
    <row r="63">
      <c r="A63" s="4" t="inlineStr">
        <is>
          <t>8. Наполнение: верстак, стеллажи, хранение инвентаря</t>
        </is>
      </c>
      <c r="B63" s="5" t="n"/>
      <c r="C63" s="5" t="n"/>
      <c r="D63" s="5" t="n"/>
      <c r="E63" s="5" t="n"/>
      <c r="F63" s="5" t="n"/>
    </row>
    <row r="64">
      <c r="A64" s="6" t="inlineStr">
        <is>
          <t>8.1</t>
        </is>
      </c>
      <c r="B64" s="7" t="inlineStr">
        <is>
          <t>Верстак: брус 50×100×6000 (ножки, царги)</t>
        </is>
      </c>
      <c r="C64" s="6" t="inlineStr">
        <is>
          <t>шт</t>
        </is>
      </c>
      <c r="D64" s="6" t="n">
        <v>3</v>
      </c>
      <c r="E64" s="8" t="n">
        <v>570</v>
      </c>
      <c r="F64" s="9">
        <f>D64*E64</f>
        <v/>
      </c>
    </row>
    <row r="65">
      <c r="A65" s="6" t="inlineStr">
        <is>
          <t>8.2</t>
        </is>
      </c>
      <c r="B65" s="7" t="inlineStr">
        <is>
          <t>Верстак: фанера ФСФ 18 мм 1525×1525 (столешница в 2 слоя, борт)</t>
        </is>
      </c>
      <c r="C65" s="6" t="inlineStr">
        <is>
          <t>лист</t>
        </is>
      </c>
      <c r="D65" s="6" t="n">
        <v>2</v>
      </c>
      <c r="E65" s="8" t="n">
        <v>2300</v>
      </c>
      <c r="F65" s="9">
        <f>D65*E65</f>
        <v/>
      </c>
    </row>
    <row r="66">
      <c r="A66" s="6" t="inlineStr">
        <is>
          <t>8.3</t>
        </is>
      </c>
      <c r="B66" s="7" t="inlineStr">
        <is>
          <t>Верстак: ОСБ-3 12 мм (нижняя полка)</t>
        </is>
      </c>
      <c r="C66" s="6" t="inlineStr">
        <is>
          <t>лист</t>
        </is>
      </c>
      <c r="D66" s="6" t="n">
        <v>1</v>
      </c>
      <c r="E66" s="8" t="n">
        <v>1050</v>
      </c>
      <c r="F66" s="9">
        <f>D66*E66</f>
        <v/>
      </c>
    </row>
    <row r="67">
      <c r="A67" s="6" t="inlineStr">
        <is>
          <t>8.4</t>
        </is>
      </c>
      <c r="B67" s="7" t="inlineStr">
        <is>
          <t>Тиски слесарные 125 мм + болты М10</t>
        </is>
      </c>
      <c r="C67" s="6" t="inlineStr">
        <is>
          <t>шт</t>
        </is>
      </c>
      <c r="D67" s="6" t="n">
        <v>1</v>
      </c>
      <c r="E67" s="8" t="n">
        <v>4800</v>
      </c>
      <c r="F67" s="9">
        <f>D67*E67</f>
        <v/>
      </c>
    </row>
    <row r="68">
      <c r="A68" s="6" t="inlineStr">
        <is>
          <t>8.5</t>
        </is>
      </c>
      <c r="B68" s="7" t="inlineStr">
        <is>
          <t>Тумба-кассетница металлическая, 4 ящика</t>
        </is>
      </c>
      <c r="C68" s="6" t="inlineStr">
        <is>
          <t>шт</t>
        </is>
      </c>
      <c r="D68" s="6" t="n">
        <v>1</v>
      </c>
      <c r="E68" s="8" t="n">
        <v>7500</v>
      </c>
      <c r="F68" s="9">
        <f>D68*E68</f>
        <v/>
      </c>
    </row>
    <row r="69">
      <c r="A69" s="6" t="inlineStr">
        <is>
          <t>8.6</t>
        </is>
      </c>
      <c r="B69" s="7" t="inlineStr">
        <is>
          <t>Перфопанель стальная 750×1000 + набор крючков 50 шт</t>
        </is>
      </c>
      <c r="C69" s="6" t="inlineStr">
        <is>
          <t>компл</t>
        </is>
      </c>
      <c r="D69" s="6" t="n">
        <v>1</v>
      </c>
      <c r="E69" s="8" t="n">
        <v>4900</v>
      </c>
      <c r="F69" s="9">
        <f>D69*E69</f>
        <v/>
      </c>
    </row>
    <row r="70">
      <c r="A70" s="6" t="inlineStr">
        <is>
          <t>8.7</t>
        </is>
      </c>
      <c r="B70" s="7" t="inlineStr">
        <is>
          <t>Стеллаж 3000×500×2100: брусок 50×50×3000 (стойки)</t>
        </is>
      </c>
      <c r="C70" s="6" t="inlineStr">
        <is>
          <t>шт</t>
        </is>
      </c>
      <c r="D70" s="6" t="n">
        <v>6</v>
      </c>
      <c r="E70" s="8" t="n">
        <v>190</v>
      </c>
      <c r="F70" s="9">
        <f>D70*E70</f>
        <v/>
      </c>
    </row>
    <row r="71">
      <c r="A71" s="6" t="inlineStr">
        <is>
          <t>8.8</t>
        </is>
      </c>
      <c r="B71" s="7" t="inlineStr">
        <is>
          <t>Стеллаж: брусок 25×50×3000 (царги)</t>
        </is>
      </c>
      <c r="C71" s="6" t="inlineStr">
        <is>
          <t>шт</t>
        </is>
      </c>
      <c r="D71" s="6" t="n">
        <v>10</v>
      </c>
      <c r="E71" s="8" t="n">
        <v>90</v>
      </c>
      <c r="F71" s="9">
        <f>D71*E71</f>
        <v/>
      </c>
    </row>
    <row r="72">
      <c r="A72" s="6" t="inlineStr">
        <is>
          <t>8.9</t>
        </is>
      </c>
      <c r="B72" s="7" t="inlineStr">
        <is>
          <t>ОСБ-3 18 мм 2500×1250 (полки стеллажа, антресоль, полки ГСМ)</t>
        </is>
      </c>
      <c r="C72" s="6" t="inlineStr">
        <is>
          <t>лист</t>
        </is>
      </c>
      <c r="D72" s="6" t="n">
        <v>4</v>
      </c>
      <c r="E72" s="8" t="n">
        <v>1650</v>
      </c>
      <c r="F72" s="9">
        <f>D72*E72</f>
        <v/>
      </c>
    </row>
    <row r="73">
      <c r="A73" s="6" t="inlineStr">
        <is>
          <t>8.10</t>
        </is>
      </c>
      <c r="B73" s="7" t="inlineStr">
        <is>
          <t>Доска строганая 25×100×3000 (рейки инструментальной стены, крюков)</t>
        </is>
      </c>
      <c r="C73" s="6" t="inlineStr">
        <is>
          <t>шт</t>
        </is>
      </c>
      <c r="D73" s="6" t="n">
        <v>3</v>
      </c>
      <c r="E73" s="8" t="n">
        <v>280</v>
      </c>
      <c r="F73" s="9">
        <f>D73*E73</f>
        <v/>
      </c>
    </row>
    <row r="74">
      <c r="A74" s="6" t="inlineStr">
        <is>
          <t>8.11</t>
        </is>
      </c>
      <c r="B74" s="7" t="inlineStr">
        <is>
          <t>Держатель садового инструмента настенный</t>
        </is>
      </c>
      <c r="C74" s="6" t="inlineStr">
        <is>
          <t>шт</t>
        </is>
      </c>
      <c r="D74" s="6" t="n">
        <v>12</v>
      </c>
      <c r="E74" s="8" t="n">
        <v>180</v>
      </c>
      <c r="F74" s="9">
        <f>D74*E74</f>
        <v/>
      </c>
    </row>
    <row r="75">
      <c r="A75" s="6" t="inlineStr">
        <is>
          <t>8.12</t>
        </is>
      </c>
      <c r="B75" s="7" t="inlineStr">
        <is>
          <t>Кронштейн полочный 300/400 мм</t>
        </is>
      </c>
      <c r="C75" s="6" t="inlineStr">
        <is>
          <t>шт</t>
        </is>
      </c>
      <c r="D75" s="6" t="n">
        <v>9</v>
      </c>
      <c r="E75" s="8" t="n">
        <v>190</v>
      </c>
      <c r="F75" s="9">
        <f>D75*E75</f>
        <v/>
      </c>
    </row>
    <row r="76">
      <c r="A76" s="6" t="inlineStr">
        <is>
          <t>8.13</t>
        </is>
      </c>
      <c r="B76" s="7" t="inlineStr">
        <is>
          <t>Крюк настенный большой (шланг, удлинитель, триммер, тачка)</t>
        </is>
      </c>
      <c r="C76" s="6" t="inlineStr">
        <is>
          <t>шт</t>
        </is>
      </c>
      <c r="D76" s="6" t="n">
        <v>6</v>
      </c>
      <c r="E76" s="8" t="n">
        <v>250</v>
      </c>
      <c r="F76" s="9">
        <f>D76*E76</f>
        <v/>
      </c>
    </row>
    <row r="77">
      <c r="A77" s="6" t="inlineStr">
        <is>
          <t>8.14</t>
        </is>
      </c>
      <c r="B77" s="7" t="inlineStr">
        <is>
          <t>Коврик резиновый 6 мм под технику</t>
        </is>
      </c>
      <c r="C77" s="6" t="inlineStr">
        <is>
          <t>м²</t>
        </is>
      </c>
      <c r="D77" s="6" t="n">
        <v>2.9</v>
      </c>
      <c r="E77" s="8" t="n">
        <v>1100</v>
      </c>
      <c r="F77" s="9">
        <f>D77*E77</f>
        <v/>
      </c>
    </row>
    <row r="78">
      <c r="A78" s="6" t="inlineStr">
        <is>
          <t>8.15</t>
        </is>
      </c>
      <c r="B78" s="7" t="inlineStr">
        <is>
          <t>Саморезы, уголки, лак для верстака</t>
        </is>
      </c>
      <c r="C78" s="6" t="inlineStr">
        <is>
          <t>компл</t>
        </is>
      </c>
      <c r="D78" s="6" t="n">
        <v>1</v>
      </c>
      <c r="E78" s="8" t="n">
        <v>2500</v>
      </c>
      <c r="F78" s="9">
        <f>D78*E78</f>
        <v/>
      </c>
    </row>
    <row r="79">
      <c r="A79" s="6" t="n"/>
      <c r="B79" s="10" t="inlineStr">
        <is>
          <t>Итого по разделу «Наполнение: верстак, стеллажи, хранение инвентаря»</t>
        </is>
      </c>
      <c r="C79" s="6" t="n"/>
      <c r="D79" s="6" t="n"/>
      <c r="E79" s="6" t="n"/>
      <c r="F79" s="11">
        <f>SUM(F64:F78)</f>
        <v/>
      </c>
    </row>
    <row r="81">
      <c r="A81" s="4" t="inlineStr">
        <is>
          <t>9. Работы</t>
        </is>
      </c>
      <c r="B81" s="5" t="n"/>
      <c r="C81" s="5" t="n"/>
      <c r="D81" s="5" t="n"/>
      <c r="E81" s="5" t="n"/>
      <c r="F81" s="5" t="n"/>
    </row>
    <row r="82">
      <c r="A82" s="6" t="inlineStr">
        <is>
          <t>9.1</t>
        </is>
      </c>
      <c r="B82" s="7" t="inlineStr">
        <is>
          <t>Подготовка площадки, подушка, установка и нивелировка опор</t>
        </is>
      </c>
      <c r="C82" s="6" t="inlineStr">
        <is>
          <t>компл</t>
        </is>
      </c>
      <c r="D82" s="6" t="n">
        <v>1</v>
      </c>
      <c r="E82" s="8" t="n">
        <v>6000</v>
      </c>
      <c r="F82" s="9">
        <f>D82*E82</f>
        <v/>
      </c>
    </row>
    <row r="83">
      <c r="A83" s="6" t="inlineStr">
        <is>
          <t>9.2</t>
        </is>
      </c>
      <c r="B83" s="7" t="inlineStr">
        <is>
          <t>Сборка каркаса: обвязка, лаги, черновой пол, стены, фермы</t>
        </is>
      </c>
      <c r="C83" s="6" t="inlineStr">
        <is>
          <t>компл</t>
        </is>
      </c>
      <c r="D83" s="6" t="n">
        <v>1</v>
      </c>
      <c r="E83" s="8" t="n">
        <v>32000</v>
      </c>
      <c r="F83" s="9">
        <f>D83*E83</f>
        <v/>
      </c>
    </row>
    <row r="84">
      <c r="A84" s="6" t="inlineStr">
        <is>
          <t>9.3</t>
        </is>
      </c>
      <c r="B84" s="7" t="inlineStr">
        <is>
          <t>Кровля: обрешётка, гидроизоляция, профлист, конёк, планки</t>
        </is>
      </c>
      <c r="C84" s="6" t="inlineStr">
        <is>
          <t>компл</t>
        </is>
      </c>
      <c r="D84" s="6" t="n">
        <v>1</v>
      </c>
      <c r="E84" s="8" t="n">
        <v>9000</v>
      </c>
      <c r="F84" s="9">
        <f>D84*E84</f>
        <v/>
      </c>
    </row>
    <row r="85">
      <c r="A85" s="6" t="inlineStr">
        <is>
          <t>9.4</t>
        </is>
      </c>
      <c r="B85" s="7" t="inlineStr">
        <is>
          <t>Наружная обшивка профлистом с доборными элементами</t>
        </is>
      </c>
      <c r="C85" s="6" t="inlineStr">
        <is>
          <t>компл</t>
        </is>
      </c>
      <c r="D85" s="6" t="n">
        <v>1</v>
      </c>
      <c r="E85" s="8" t="n">
        <v>14000</v>
      </c>
      <c r="F85" s="9">
        <f>D85*E85</f>
        <v/>
      </c>
    </row>
    <row r="86">
      <c r="A86" s="6" t="inlineStr">
        <is>
          <t>9.5</t>
        </is>
      </c>
      <c r="B86" s="7" t="inlineStr">
        <is>
          <t>Утепление и пароизоляция пола, стен, потолка</t>
        </is>
      </c>
      <c r="C86" s="6" t="inlineStr">
        <is>
          <t>компл</t>
        </is>
      </c>
      <c r="D86" s="6" t="n">
        <v>1</v>
      </c>
      <c r="E86" s="8" t="n">
        <v>9000</v>
      </c>
      <c r="F86" s="9">
        <f>D86*E86</f>
        <v/>
      </c>
    </row>
    <row r="87">
      <c r="A87" s="6" t="inlineStr">
        <is>
          <t>9.6</t>
        </is>
      </c>
      <c r="B87" s="7" t="inlineStr">
        <is>
          <t>Внутренняя обшивка ОСБ, чистовой пол (доска + ОСБ)</t>
        </is>
      </c>
      <c r="C87" s="6" t="inlineStr">
        <is>
          <t>компл</t>
        </is>
      </c>
      <c r="D87" s="6" t="n">
        <v>1</v>
      </c>
      <c r="E87" s="8" t="n">
        <v>11000</v>
      </c>
      <c r="F87" s="9">
        <f>D87*E87</f>
        <v/>
      </c>
    </row>
    <row r="88">
      <c r="A88" s="6" t="inlineStr">
        <is>
          <t>9.7</t>
        </is>
      </c>
      <c r="B88" s="7" t="inlineStr">
        <is>
          <t>Монтаж окон ПВХ</t>
        </is>
      </c>
      <c r="C88" s="6" t="inlineStr">
        <is>
          <t>шт</t>
        </is>
      </c>
      <c r="D88" s="6" t="n">
        <v>2</v>
      </c>
      <c r="E88" s="8" t="n">
        <v>2500</v>
      </c>
      <c r="F88" s="9">
        <f>D88*E88</f>
        <v/>
      </c>
    </row>
    <row r="89">
      <c r="A89" s="6" t="inlineStr">
        <is>
          <t>9.8</t>
        </is>
      </c>
      <c r="B89" s="7" t="inlineStr">
        <is>
          <t>Монтаж металлической двери</t>
        </is>
      </c>
      <c r="C89" s="6" t="inlineStr">
        <is>
          <t>шт</t>
        </is>
      </c>
      <c r="D89" s="6" t="n">
        <v>1</v>
      </c>
      <c r="E89" s="8" t="n">
        <v>4000</v>
      </c>
      <c r="F89" s="9">
        <f>D89*E89</f>
        <v/>
      </c>
    </row>
    <row r="90">
      <c r="A90" s="6" t="inlineStr">
        <is>
          <t>9.9</t>
        </is>
      </c>
      <c r="B90" s="7" t="inlineStr">
        <is>
          <t>Изготовление входных ступеней</t>
        </is>
      </c>
      <c r="C90" s="6" t="inlineStr">
        <is>
          <t>компл</t>
        </is>
      </c>
      <c r="D90" s="6" t="n">
        <v>1</v>
      </c>
      <c r="E90" s="8" t="n">
        <v>3000</v>
      </c>
      <c r="F90" s="9">
        <f>D90*E90</f>
        <v/>
      </c>
    </row>
    <row r="91">
      <c r="A91" s="6" t="inlineStr">
        <is>
          <t>9.10</t>
        </is>
      </c>
      <c r="B91" s="7" t="inlineStr">
        <is>
          <t>Изготовление и монтаж наполнения (верстак, стеллаж, стены хранения)</t>
        </is>
      </c>
      <c r="C91" s="6" t="inlineStr">
        <is>
          <t>компл</t>
        </is>
      </c>
      <c r="D91" s="6" t="n">
        <v>1</v>
      </c>
      <c r="E91" s="8" t="n">
        <v>18000</v>
      </c>
      <c r="F91" s="9">
        <f>D91*E91</f>
        <v/>
      </c>
    </row>
    <row r="92">
      <c r="A92" s="6" t="inlineStr">
        <is>
          <t>9.11</t>
        </is>
      </c>
      <c r="B92" s="7" t="inlineStr">
        <is>
          <t>Доставка материалов</t>
        </is>
      </c>
      <c r="C92" s="6" t="inlineStr">
        <is>
          <t>рейс</t>
        </is>
      </c>
      <c r="D92" s="6" t="n">
        <v>1</v>
      </c>
      <c r="E92" s="8" t="n">
        <v>6000</v>
      </c>
      <c r="F92" s="9">
        <f>D92*E92</f>
        <v/>
      </c>
    </row>
    <row r="93">
      <c r="A93" s="6" t="inlineStr">
        <is>
          <t>9.12</t>
        </is>
      </c>
      <c r="B93" s="7" t="inlineStr">
        <is>
          <t>Уборка и вывоз строительного мусора</t>
        </is>
      </c>
      <c r="C93" s="6" t="inlineStr">
        <is>
          <t>компл</t>
        </is>
      </c>
      <c r="D93" s="6" t="n">
        <v>1</v>
      </c>
      <c r="E93" s="8" t="n">
        <v>2000</v>
      </c>
      <c r="F93" s="9">
        <f>D93*E93</f>
        <v/>
      </c>
    </row>
    <row r="94">
      <c r="A94" s="6" t="n"/>
      <c r="B94" s="10" t="inlineStr">
        <is>
          <t>Итого по разделу «Работы»</t>
        </is>
      </c>
      <c r="C94" s="6" t="n"/>
      <c r="D94" s="6" t="n"/>
      <c r="E94" s="6" t="n"/>
      <c r="F94" s="11">
        <f>SUM(F82:F93)</f>
        <v/>
      </c>
    </row>
    <row r="96">
      <c r="A96" s="12" t="n"/>
      <c r="B96" s="13" t="inlineStr">
        <is>
          <t>Материалы (разделы 1–8)</t>
        </is>
      </c>
      <c r="C96" s="12" t="n"/>
      <c r="D96" s="12" t="n"/>
      <c r="E96" s="12" t="n"/>
      <c r="F96" s="14">
        <f>F9+F19+F27+F40+F47+F55+F61+F79</f>
        <v/>
      </c>
    </row>
    <row r="97">
      <c r="A97" s="12" t="n"/>
      <c r="B97" s="13" t="inlineStr">
        <is>
          <t xml:space="preserve">   в т.ч. наполнение (раздел 8)</t>
        </is>
      </c>
      <c r="C97" s="12" t="n"/>
      <c r="D97" s="12" t="n"/>
      <c r="E97" s="12" t="n"/>
      <c r="F97" s="14">
        <f>F79</f>
        <v/>
      </c>
    </row>
    <row r="98">
      <c r="A98" s="12" t="n"/>
      <c r="B98" s="13" t="inlineStr">
        <is>
          <t>Работы (раздел 9)</t>
        </is>
      </c>
      <c r="C98" s="12" t="n"/>
      <c r="D98" s="12" t="n"/>
      <c r="E98" s="12" t="n"/>
      <c r="F98" s="14">
        <f>F94</f>
        <v/>
      </c>
    </row>
    <row r="99">
      <c r="A99" s="12" t="n"/>
      <c r="B99" s="13" t="inlineStr">
        <is>
          <t>Итого материалы и работы</t>
        </is>
      </c>
      <c r="C99" s="12" t="n"/>
      <c r="D99" s="12" t="n"/>
      <c r="E99" s="12" t="n"/>
      <c r="F99" s="14">
        <f>F96+F98</f>
        <v/>
      </c>
    </row>
    <row r="100">
      <c r="A100" s="12" t="n"/>
      <c r="B100" s="13" t="inlineStr">
        <is>
          <t>Непредвиденные расходы 5%</t>
        </is>
      </c>
      <c r="C100" s="12" t="n"/>
      <c r="D100" s="12" t="n"/>
      <c r="E100" s="12" t="n"/>
      <c r="F100" s="14">
        <f>ROUND(F99*0.05,0)</f>
        <v/>
      </c>
    </row>
    <row r="101">
      <c r="A101" s="12" t="n"/>
      <c r="B101" s="15" t="inlineStr">
        <is>
          <t>ВСЕГО ПО СМЕТЕ</t>
        </is>
      </c>
      <c r="C101" s="12" t="n"/>
      <c r="D101" s="12" t="n"/>
      <c r="E101" s="12" t="n"/>
      <c r="F101" s="16">
        <f>F99+F100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6" customWidth="1" min="1" max="1"/>
    <col width="86" customWidth="1" min="2" max="2"/>
    <col width="8" customWidth="1" min="3" max="3"/>
    <col width="10" customWidth="1" min="4" max="4"/>
    <col width="12" customWidth="1" min="5" max="5"/>
    <col width="14" customWidth="1" min="6" max="6"/>
  </cols>
  <sheetData>
    <row r="1">
      <c r="A1" s="17" t="inlineStr">
        <is>
          <t>Дополнительные опции (не входят в итог сметы)</t>
        </is>
      </c>
    </row>
    <row r="3">
      <c r="A3" s="18" t="inlineStr">
        <is>
          <t>№</t>
        </is>
      </c>
      <c r="B3" s="18" t="inlineStr">
        <is>
          <t>Наименование</t>
        </is>
      </c>
      <c r="C3" s="18" t="inlineStr">
        <is>
          <t>Ед.</t>
        </is>
      </c>
      <c r="D3" s="18" t="inlineStr">
        <is>
          <t>Кол-во</t>
        </is>
      </c>
      <c r="E3" s="18" t="inlineStr">
        <is>
          <t>Цена, ₽</t>
        </is>
      </c>
      <c r="F3" s="18" t="inlineStr">
        <is>
          <t>Сумма, ₽</t>
        </is>
      </c>
    </row>
    <row r="4">
      <c r="A4" s="6" t="inlineStr">
        <is>
          <t>О.1</t>
        </is>
      </c>
      <c r="B4" s="6" t="inlineStr">
        <is>
          <t>Электроснабжение: кабель от дома до 30 м, щиток, 2 светильника LED, 4 розетки</t>
        </is>
      </c>
      <c r="C4" s="6" t="inlineStr">
        <is>
          <t>компл</t>
        </is>
      </c>
      <c r="D4" s="6" t="n">
        <v>1</v>
      </c>
      <c r="E4" s="6" t="n">
        <v>22000</v>
      </c>
      <c r="F4" s="9">
        <f>D4*E4</f>
        <v/>
      </c>
    </row>
    <row r="5">
      <c r="A5" s="6" t="inlineStr">
        <is>
          <t>О.2</t>
        </is>
      </c>
      <c r="B5" s="6" t="inlineStr">
        <is>
          <t>Пандус съёмный стальной 1,5 м для заезда техники (пара)</t>
        </is>
      </c>
      <c r="C5" s="6" t="inlineStr">
        <is>
          <t>компл</t>
        </is>
      </c>
      <c r="D5" s="6" t="n">
        <v>1</v>
      </c>
      <c r="E5" s="6" t="n">
        <v>6500</v>
      </c>
      <c r="F5" s="9">
        <f>D5*E5</f>
        <v/>
      </c>
    </row>
    <row r="6">
      <c r="A6" s="6" t="inlineStr">
        <is>
          <t>О.3</t>
        </is>
      </c>
      <c r="B6" s="6" t="inlineStr">
        <is>
          <t>Покраска/лакировка ОСБ внутри (2 слоя)</t>
        </is>
      </c>
      <c r="C6" s="6" t="inlineStr">
        <is>
          <t>компл</t>
        </is>
      </c>
      <c r="D6" s="6" t="n">
        <v>1</v>
      </c>
      <c r="E6" s="6" t="n">
        <v>9000</v>
      </c>
      <c r="F6" s="9">
        <f>D6*E6</f>
        <v/>
      </c>
    </row>
    <row r="7">
      <c r="A7" s="6" t="inlineStr">
        <is>
          <t>О.4</t>
        </is>
      </c>
      <c r="B7" s="6" t="inlineStr">
        <is>
          <t>Односкатная кровля вместо двускатной (экономия на фермах и доборах)</t>
        </is>
      </c>
      <c r="C7" s="6" t="inlineStr">
        <is>
          <t>компл</t>
        </is>
      </c>
      <c r="D7" s="6" t="n">
        <v>1</v>
      </c>
      <c r="E7" s="6" t="n">
        <v>-5000</v>
      </c>
      <c r="F7" s="9">
        <f>D7*E7</f>
        <v/>
      </c>
    </row>
    <row r="8">
      <c r="A8" s="6" t="inlineStr">
        <is>
          <t>О.5</t>
        </is>
      </c>
      <c r="B8" s="6" t="inlineStr">
        <is>
          <t>Металлический стеллаж 1000×500×2000 вместо деревянного (3 секции, доплата)</t>
        </is>
      </c>
      <c r="C8" s="6" t="inlineStr">
        <is>
          <t>компл</t>
        </is>
      </c>
      <c r="D8" s="6" t="n">
        <v>1</v>
      </c>
      <c r="E8" s="6" t="n">
        <v>7500</v>
      </c>
      <c r="F8" s="9">
        <f>D8*E8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2026-09-24T05:25:09Z</dcterms:created>
  <dcterms:modified xsi:type="dcterms:W3CDTF">2026-09-24T05:25:09Z</dcterms:modified>
</cp:coreProperties>
</file>